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<sst xmlns="http://schemas.openxmlformats.org/spreadsheetml/2006/main" count="43" uniqueCount="22">
  <si>
    <t>Sport</t>
  </si>
  <si>
    <t>Athlete Name</t>
  </si>
  <si>
    <t>Era</t>
  </si>
  <si>
    <t>Address</t>
  </si>
  <si>
    <t>Fee</t>
  </si>
  <si>
    <t>Status</t>
  </si>
  <si>
    <t>Sent</t>
  </si>
  <si>
    <t>Returned</t>
  </si>
  <si>
    <t>Turnaroud</t>
  </si>
  <si>
    <t>Encolsure</t>
  </si>
  <si>
    <t>Football</t>
  </si>
  <si>
    <t>Herny Ellard</t>
  </si>
  <si>
    <t>unknown</t>
  </si>
  <si>
    <t>Signed</t>
  </si>
  <si>
    <t>Jack Youngblood</t>
  </si>
  <si>
    <t>waiting</t>
  </si>
  <si>
    <t>Jim Youngblood</t>
  </si>
  <si>
    <t>signed</t>
  </si>
  <si>
    <t>Preson Dennard</t>
  </si>
  <si>
    <t>Dennis Harrah</t>
  </si>
  <si>
    <t>Deacon Jones</t>
  </si>
  <si>
    <t xml:space="preserve">unable 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</si>
</sst>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EB Garamond"/>
    </font>
    <font>
      <sz val="9.0"/>
      <color theme="1"/>
      <name val="Arial"/>
      <scheme val="minor"/>
    </font>
    <font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1" name="Table1" id="1">
  <tableColumns count="10">
    <tableColumn name="Sport" id="1"/>
    <tableColumn name="Athlete Name" id="2"/>
    <tableColumn name="Era" id="3"/>
    <tableColumn name="Address" id="4"/>
    <tableColumn name="Fee" id="5"/>
    <tableColumn name="Status" id="6"/>
    <tableColumn name="Sent" id="7"/>
    <tableColumn name="Returned" id="8"/>
    <tableColumn name="Turnaroud" id="9"/>
    <tableColumn name="Encolsur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25"/>
    <col customWidth="1" min="5" max="5" width="22.5"/>
    <col customWidth="1" min="9" max="9" width="13.13"/>
    <col customWidth="1" min="10" max="10" width="12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ht="22.5" customHeight="1">
      <c r="A2" s="4" t="s">
        <v>10</v>
      </c>
      <c r="B2" s="5" t="s">
        <v>11</v>
      </c>
      <c r="C2" s="6">
        <v>1988.0</v>
      </c>
      <c r="D2" s="7" t="s">
        <v>12</v>
      </c>
      <c r="E2" s="7">
        <v>0.0</v>
      </c>
      <c r="F2" s="7" t="s">
        <v>13</v>
      </c>
      <c r="G2" s="8">
        <v>45658.0</v>
      </c>
      <c r="H2" s="9">
        <v>45717.0</v>
      </c>
      <c r="I2" s="10" t="str">
        <f t="shared" ref="I2:I7" si="1">IF(ISBLANK(H2), "Pending", CONCATENATE(DATEDIF(G2, H2, "D"), " Days"))</f>
        <v>59 Days</v>
      </c>
    </row>
    <row r="3" ht="22.5" customHeight="1">
      <c r="A3" s="4" t="s">
        <v>10</v>
      </c>
      <c r="B3" s="7" t="s">
        <v>14</v>
      </c>
      <c r="C3" s="7">
        <v>1970.0</v>
      </c>
      <c r="D3" s="7" t="s">
        <v>12</v>
      </c>
      <c r="E3" s="7">
        <v>15.0</v>
      </c>
      <c r="F3" s="7" t="s">
        <v>15</v>
      </c>
      <c r="G3" s="9">
        <v>46054.0</v>
      </c>
      <c r="I3" s="10" t="str">
        <f t="shared" si="1"/>
        <v>Pending</v>
      </c>
    </row>
    <row r="4" ht="22.5" customHeight="1">
      <c r="A4" s="4" t="s">
        <v>10</v>
      </c>
      <c r="B4" s="7" t="s">
        <v>16</v>
      </c>
      <c r="C4" s="7">
        <v>1975.0</v>
      </c>
      <c r="D4" s="7" t="s">
        <v>12</v>
      </c>
      <c r="E4" s="7">
        <v>0.0</v>
      </c>
      <c r="F4" s="7" t="s">
        <v>17</v>
      </c>
      <c r="G4" s="9">
        <v>46113.0</v>
      </c>
      <c r="H4" s="9">
        <v>46174.0</v>
      </c>
      <c r="I4" s="10" t="str">
        <f t="shared" si="1"/>
        <v>61 Days</v>
      </c>
    </row>
    <row r="5" ht="22.5" customHeight="1">
      <c r="A5" s="4" t="s">
        <v>10</v>
      </c>
      <c r="B5" s="7" t="s">
        <v>18</v>
      </c>
      <c r="C5" s="7">
        <v>1989.0</v>
      </c>
      <c r="D5" s="7" t="s">
        <v>12</v>
      </c>
      <c r="E5" s="7">
        <v>0.0</v>
      </c>
      <c r="F5" s="7" t="s">
        <v>15</v>
      </c>
      <c r="G5" s="9">
        <v>46114.0</v>
      </c>
      <c r="I5" s="10" t="str">
        <f t="shared" si="1"/>
        <v>Pending</v>
      </c>
    </row>
    <row r="6" ht="22.5" customHeight="1">
      <c r="A6" s="4" t="s">
        <v>10</v>
      </c>
      <c r="B6" s="7" t="s">
        <v>19</v>
      </c>
      <c r="C6" s="7">
        <v>1989.0</v>
      </c>
      <c r="D6" s="7" t="s">
        <v>12</v>
      </c>
      <c r="E6" s="7">
        <v>0.0</v>
      </c>
      <c r="F6" s="7" t="s">
        <v>15</v>
      </c>
      <c r="G6" s="9">
        <v>46115.0</v>
      </c>
      <c r="I6" s="10" t="str">
        <f t="shared" si="1"/>
        <v>Pending</v>
      </c>
    </row>
    <row r="7" ht="22.5" customHeight="1">
      <c r="A7" s="4" t="s">
        <v>10</v>
      </c>
      <c r="B7" s="7" t="s">
        <v>20</v>
      </c>
      <c r="C7" s="7">
        <v>1968.0</v>
      </c>
      <c r="D7" s="7" t="s">
        <v>12</v>
      </c>
      <c r="E7" s="7">
        <v>0.0</v>
      </c>
      <c r="F7" s="7" t="s">
        <v>21</v>
      </c>
      <c r="I7" s="10" t="str">
        <f t="shared" si="1"/>
        <v>Pending</v>
      </c>
    </row>
    <row r="8" ht="22.5" customHeight="1">
      <c r="A8" s="4" t="s">
        <v>10</v>
      </c>
    </row>
    <row r="9" ht="22.5" customHeight="1">
      <c r="A9" s="4" t="s">
        <v>10</v>
      </c>
    </row>
    <row r="10" ht="22.5" customHeight="1">
      <c r="A10" s="4" t="s">
        <v>10</v>
      </c>
    </row>
    <row r="11" ht="22.5" customHeight="1">
      <c r="A11" s="4" t="s">
        <v>10</v>
      </c>
    </row>
    <row r="12" ht="22.5" customHeight="1">
      <c r="A12" s="4" t="s">
        <v>10</v>
      </c>
    </row>
    <row r="13" ht="22.5" customHeight="1">
      <c r="A13" s="4" t="s">
        <v>10</v>
      </c>
    </row>
    <row r="14" ht="22.5" customHeight="1">
      <c r="A14" s="4" t="s">
        <v>10</v>
      </c>
    </row>
    <row r="15" ht="22.5" customHeight="1">
      <c r="A15" s="4" t="s">
        <v>10</v>
      </c>
    </row>
    <row r="16" ht="22.5" customHeight="1">
      <c r="A16" s="4" t="s">
        <v>10</v>
      </c>
    </row>
  </sheetData>
  <drawing r:id="rId1"/>
  <tableParts count="1">
    <tablePart r:id="rId3"/>
  </tableParts>
</worksheet>
</file>